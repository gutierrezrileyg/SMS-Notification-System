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ley G. Gutierrez\Downloads\"/>
    </mc:Choice>
  </mc:AlternateContent>
  <xr:revisionPtr revIDLastSave="0" documentId="13_ncr:1_{BE1E714C-7658-488D-A060-C0869AFBBE6D}" xr6:coauthVersionLast="47" xr6:coauthVersionMax="47" xr10:uidLastSave="{00000000-0000-0000-0000-000000000000}"/>
  <bookViews>
    <workbookView xWindow="3756" yWindow="2424" windowWidth="17280" windowHeight="9960" activeTab="1" xr2:uid="{AC22B4F3-98D3-4843-8D6C-665C6A2CC3AE}"/>
  </bookViews>
  <sheets>
    <sheet name="Admin Interface" sheetId="1" r:id="rId1"/>
    <sheet name="Databas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8" i="1"/>
  <c r="F17" i="1"/>
  <c r="F16" i="1"/>
  <c r="F15" i="1"/>
  <c r="F13" i="1"/>
  <c r="F12" i="1"/>
  <c r="F11" i="1"/>
  <c r="F10" i="1"/>
  <c r="F8" i="1"/>
  <c r="F7" i="1"/>
  <c r="F6" i="1"/>
  <c r="F5" i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7" i="1"/>
  <c r="B8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6" i="1"/>
</calcChain>
</file>

<file path=xl/sharedStrings.xml><?xml version="1.0" encoding="utf-8"?>
<sst xmlns="http://schemas.openxmlformats.org/spreadsheetml/2006/main" count="42" uniqueCount="20">
  <si>
    <t>Sent at</t>
  </si>
  <si>
    <t>Phone Numbers</t>
  </si>
  <si>
    <t>Status</t>
  </si>
  <si>
    <t>No. of Contacts</t>
  </si>
  <si>
    <t>No.</t>
  </si>
  <si>
    <t>Pending</t>
  </si>
  <si>
    <t>Retrying</t>
  </si>
  <si>
    <t>Sent</t>
  </si>
  <si>
    <t>Failed</t>
  </si>
  <si>
    <t>Barangay</t>
  </si>
  <si>
    <t>Poblacion 1</t>
  </si>
  <si>
    <t>Poblacion 2</t>
  </si>
  <si>
    <t>Poblacion 3</t>
  </si>
  <si>
    <t>Poblacion 4</t>
  </si>
  <si>
    <t>Full_Name</t>
  </si>
  <si>
    <t>0992 429 8663</t>
  </si>
  <si>
    <t>Ken Jedrick Garcia</t>
  </si>
  <si>
    <t>0993 398 4078</t>
  </si>
  <si>
    <t>Crystal Pauleen Hizon</t>
  </si>
  <si>
    <t>0953 054 8698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</si>
</sst>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1" applyFont="1" applyAlignment="1">
      <alignment horizontal="center" vertical="center"/>
    </xf>
    <xf numFmtId="0" fontId="3" fillId="2" borderId="2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0" fontId="0" fillId="3" borderId="3" xfId="0" applyFill="1" applyBorder="1" applyAlignment="1">
      <alignment horizontal="center" vertical="center"/>
    </xf>
    <xf numFmtId="0" fontId="0" fillId="3" borderId="3" xfId="0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1" xfId="1" applyFont="1" applyAlignment="1">
      <alignment horizontal="center" vertical="center"/>
    </xf>
    <xf numFmtId="0" fontId="3" fillId="2" borderId="2" xfId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29E1-C546-4B52-9BCC-B44A2DED3249}">
  <dimension ref="B3:G24"/>
  <sheetViews>
    <sheetView workbookViewId="0">
      <selection activeCell="E6" sqref="E6"/>
    </sheetView>
  </sheetViews>
  <sheetFormatPr defaultRowHeight="14.4" x14ac:dyDescent="0.3"/>
  <cols>
    <col min="3" max="3" width="19.21875" customWidth="1"/>
    <col min="4" max="4" width="14.88671875" customWidth="1"/>
    <col min="5" max="5" width="17.5546875" customWidth="1"/>
    <col min="6" max="6" width="16" customWidth="1"/>
    <col min="7" max="7" width="12.6640625" customWidth="1"/>
  </cols>
  <sheetData>
    <row r="3" spans="2:7" s="1" customFormat="1" x14ac:dyDescent="0.3">
      <c r="B3" s="12" t="s">
        <v>4</v>
      </c>
      <c r="C3" s="12" t="s">
        <v>0</v>
      </c>
      <c r="D3" s="12" t="s">
        <v>9</v>
      </c>
      <c r="E3" s="12" t="s">
        <v>1</v>
      </c>
      <c r="F3" s="12" t="s">
        <v>2</v>
      </c>
      <c r="G3" s="12"/>
    </row>
    <row r="4" spans="2:7" x14ac:dyDescent="0.3">
      <c r="B4" s="13"/>
      <c r="C4" s="13"/>
      <c r="D4" s="13"/>
      <c r="E4" s="13"/>
      <c r="F4" s="3" t="s">
        <v>3</v>
      </c>
      <c r="G4" s="3" t="s">
        <v>2</v>
      </c>
    </row>
    <row r="5" spans="2:7" x14ac:dyDescent="0.3">
      <c r="B5" s="4">
        <v>1</v>
      </c>
      <c r="C5" s="14"/>
      <c r="D5" s="15" t="s">
        <v>10</v>
      </c>
      <c r="E5" s="5"/>
      <c r="F5" s="4">
        <f>COUNTIF(Database!$G$4:$G$8,G5)</f>
        <v>0</v>
      </c>
      <c r="G5" s="6" t="s">
        <v>5</v>
      </c>
    </row>
    <row r="6" spans="2:7" x14ac:dyDescent="0.3">
      <c r="B6" s="4">
        <f>B5+1</f>
        <v>2</v>
      </c>
      <c r="C6" s="14"/>
      <c r="D6" s="15"/>
      <c r="E6" s="5" t="s">
        <v>15</v>
      </c>
      <c r="F6" s="4">
        <f>COUNTIF(Database!$G$4:$G$8,G6)</f>
        <v>0</v>
      </c>
      <c r="G6" s="6" t="s">
        <v>6</v>
      </c>
    </row>
    <row r="7" spans="2:7" x14ac:dyDescent="0.3">
      <c r="B7" s="4">
        <f t="shared" ref="B7:B24" si="0">B6+1</f>
        <v>3</v>
      </c>
      <c r="C7" s="14"/>
      <c r="D7" s="15"/>
      <c r="E7" s="5"/>
      <c r="F7" s="4">
        <f>COUNTIF(Database!$G$4:$G$8,G7)</f>
        <v>0</v>
      </c>
      <c r="G7" s="6" t="s">
        <v>7</v>
      </c>
    </row>
    <row r="8" spans="2:7" x14ac:dyDescent="0.3">
      <c r="B8" s="4">
        <f t="shared" si="0"/>
        <v>4</v>
      </c>
      <c r="C8" s="14"/>
      <c r="D8" s="15"/>
      <c r="E8" s="5"/>
      <c r="F8" s="4">
        <f>COUNTIF(Database!$G$4:$G$8,G8)</f>
        <v>0</v>
      </c>
      <c r="G8" s="6" t="s">
        <v>8</v>
      </c>
    </row>
    <row r="9" spans="2:7" x14ac:dyDescent="0.3">
      <c r="B9" s="4">
        <f t="shared" si="0"/>
        <v>5</v>
      </c>
      <c r="C9" s="14"/>
      <c r="D9" s="15"/>
      <c r="E9" s="5"/>
      <c r="F9" s="7"/>
      <c r="G9" s="8"/>
    </row>
    <row r="10" spans="2:7" x14ac:dyDescent="0.3">
      <c r="B10" s="4">
        <f t="shared" si="0"/>
        <v>6</v>
      </c>
      <c r="C10" s="14"/>
      <c r="D10" s="15" t="s">
        <v>11</v>
      </c>
      <c r="E10" s="5"/>
      <c r="F10" s="4">
        <f>COUNTIF(Database!$G$9:$G$13,G10)</f>
        <v>0</v>
      </c>
      <c r="G10" s="6" t="s">
        <v>5</v>
      </c>
    </row>
    <row r="11" spans="2:7" x14ac:dyDescent="0.3">
      <c r="B11" s="4">
        <f t="shared" si="0"/>
        <v>7</v>
      </c>
      <c r="C11" s="14"/>
      <c r="D11" s="15"/>
      <c r="E11" s="5"/>
      <c r="F11" s="4">
        <f>COUNTIF(Database!$G$9:$G$13,G11)</f>
        <v>0</v>
      </c>
      <c r="G11" s="6" t="s">
        <v>6</v>
      </c>
    </row>
    <row r="12" spans="2:7" x14ac:dyDescent="0.3">
      <c r="B12" s="4">
        <f t="shared" si="0"/>
        <v>8</v>
      </c>
      <c r="C12" s="14"/>
      <c r="D12" s="15"/>
      <c r="E12" s="5"/>
      <c r="F12" s="4">
        <f>COUNTIF(Database!$G$9:$G$13,G12)</f>
        <v>0</v>
      </c>
      <c r="G12" s="6" t="s">
        <v>7</v>
      </c>
    </row>
    <row r="13" spans="2:7" x14ac:dyDescent="0.3">
      <c r="B13" s="4">
        <f t="shared" si="0"/>
        <v>9</v>
      </c>
      <c r="C13" s="14"/>
      <c r="D13" s="15"/>
      <c r="E13" s="5"/>
      <c r="F13" s="4">
        <f>COUNTIF(Database!$G$9:$G$13,G13)</f>
        <v>0</v>
      </c>
      <c r="G13" s="6" t="s">
        <v>8</v>
      </c>
    </row>
    <row r="14" spans="2:7" x14ac:dyDescent="0.3">
      <c r="B14" s="4">
        <f t="shared" si="0"/>
        <v>10</v>
      </c>
      <c r="C14" s="14"/>
      <c r="D14" s="15"/>
      <c r="E14" s="5"/>
      <c r="F14" s="7"/>
      <c r="G14" s="8"/>
    </row>
    <row r="15" spans="2:7" x14ac:dyDescent="0.3">
      <c r="B15" s="4">
        <f t="shared" si="0"/>
        <v>11</v>
      </c>
      <c r="C15" s="14"/>
      <c r="D15" s="15" t="s">
        <v>12</v>
      </c>
      <c r="E15" s="5"/>
      <c r="F15" s="4">
        <f>COUNTIF(Database!$G$14:$G$18,G15)</f>
        <v>0</v>
      </c>
      <c r="G15" s="6" t="s">
        <v>5</v>
      </c>
    </row>
    <row r="16" spans="2:7" x14ac:dyDescent="0.3">
      <c r="B16" s="4">
        <f t="shared" si="0"/>
        <v>12</v>
      </c>
      <c r="C16" s="14"/>
      <c r="D16" s="15"/>
      <c r="E16" s="5"/>
      <c r="F16" s="4">
        <f>COUNTIF(Database!$G$14:$G$18,G16)</f>
        <v>0</v>
      </c>
      <c r="G16" s="6" t="s">
        <v>6</v>
      </c>
    </row>
    <row r="17" spans="2:7" x14ac:dyDescent="0.3">
      <c r="B17" s="4">
        <f t="shared" si="0"/>
        <v>13</v>
      </c>
      <c r="C17" s="14"/>
      <c r="D17" s="15"/>
      <c r="E17" s="5"/>
      <c r="F17" s="4">
        <f>COUNTIF(Database!$G$14:$G$18,G17)</f>
        <v>0</v>
      </c>
      <c r="G17" s="6" t="s">
        <v>7</v>
      </c>
    </row>
    <row r="18" spans="2:7" x14ac:dyDescent="0.3">
      <c r="B18" s="4">
        <f t="shared" si="0"/>
        <v>14</v>
      </c>
      <c r="C18" s="14"/>
      <c r="D18" s="15"/>
      <c r="E18" s="5"/>
      <c r="F18" s="4">
        <f>COUNTIF(Database!$G$14:$G$18,G18)</f>
        <v>0</v>
      </c>
      <c r="G18" s="6" t="s">
        <v>8</v>
      </c>
    </row>
    <row r="19" spans="2:7" x14ac:dyDescent="0.3">
      <c r="B19" s="4">
        <f t="shared" si="0"/>
        <v>15</v>
      </c>
      <c r="C19" s="14"/>
      <c r="D19" s="15"/>
      <c r="E19" s="5"/>
      <c r="F19" s="7"/>
      <c r="G19" s="8"/>
    </row>
    <row r="20" spans="2:7" x14ac:dyDescent="0.3">
      <c r="B20" s="4">
        <f t="shared" si="0"/>
        <v>16</v>
      </c>
      <c r="C20" s="14"/>
      <c r="D20" s="15" t="s">
        <v>13</v>
      </c>
      <c r="E20" s="5"/>
      <c r="F20" s="4">
        <f>COUNTIF(Database!$G$19:$G$23,G20)</f>
        <v>0</v>
      </c>
      <c r="G20" s="6" t="s">
        <v>5</v>
      </c>
    </row>
    <row r="21" spans="2:7" x14ac:dyDescent="0.3">
      <c r="B21" s="4">
        <f t="shared" si="0"/>
        <v>17</v>
      </c>
      <c r="C21" s="14"/>
      <c r="D21" s="15"/>
      <c r="E21" s="5"/>
      <c r="F21" s="4">
        <f>COUNTIF(Database!$G$19:$G$23,G21)</f>
        <v>0</v>
      </c>
      <c r="G21" s="6" t="s">
        <v>6</v>
      </c>
    </row>
    <row r="22" spans="2:7" x14ac:dyDescent="0.3">
      <c r="B22" s="4">
        <f t="shared" si="0"/>
        <v>18</v>
      </c>
      <c r="C22" s="14"/>
      <c r="D22" s="15"/>
      <c r="E22" s="5"/>
      <c r="F22" s="4">
        <f>COUNTIF(Database!$G$19:$G$23,G22)</f>
        <v>0</v>
      </c>
      <c r="G22" s="6" t="s">
        <v>7</v>
      </c>
    </row>
    <row r="23" spans="2:7" x14ac:dyDescent="0.3">
      <c r="B23" s="4">
        <f t="shared" si="0"/>
        <v>19</v>
      </c>
      <c r="C23" s="14"/>
      <c r="D23" s="15"/>
      <c r="E23" s="5"/>
      <c r="F23" s="4">
        <f>COUNTIF(Database!$G$19:$G$23,G23)</f>
        <v>0</v>
      </c>
      <c r="G23" s="6" t="s">
        <v>8</v>
      </c>
    </row>
    <row r="24" spans="2:7" x14ac:dyDescent="0.3">
      <c r="B24" s="4">
        <f t="shared" si="0"/>
        <v>20</v>
      </c>
      <c r="C24" s="14"/>
      <c r="D24" s="15"/>
      <c r="E24" s="5"/>
      <c r="F24" s="7"/>
      <c r="G24" s="8"/>
    </row>
  </sheetData>
  <mergeCells count="13">
    <mergeCell ref="F3:G3"/>
    <mergeCell ref="E3:E4"/>
    <mergeCell ref="D3:D4"/>
    <mergeCell ref="C3:C4"/>
    <mergeCell ref="C20:C24"/>
    <mergeCell ref="D20:D24"/>
    <mergeCell ref="B3:B4"/>
    <mergeCell ref="C10:C14"/>
    <mergeCell ref="D10:D14"/>
    <mergeCell ref="C15:C19"/>
    <mergeCell ref="D15:D19"/>
    <mergeCell ref="D5:D9"/>
    <mergeCell ref="C5:C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47E6-546E-4B3A-8C5D-B29E354CAF48}">
  <dimension ref="B3:G24"/>
  <sheetViews>
    <sheetView tabSelected="1" workbookViewId="0">
      <selection activeCell="E5" sqref="E5"/>
    </sheetView>
  </sheetViews>
  <sheetFormatPr defaultRowHeight="14.4" x14ac:dyDescent="0.3"/>
  <cols>
    <col min="3" max="3" width="19.21875" customWidth="1"/>
    <col min="4" max="4" width="14.88671875" customWidth="1"/>
    <col min="5" max="5" width="17.5546875" customWidth="1"/>
    <col min="6" max="6" width="18.5546875" bestFit="1" customWidth="1"/>
    <col min="7" max="7" width="12.6640625" customWidth="1"/>
  </cols>
  <sheetData>
    <row r="3" spans="2:7" s="1" customFormat="1" x14ac:dyDescent="0.3">
      <c r="B3" s="2" t="s">
        <v>4</v>
      </c>
      <c r="C3" s="2" t="s">
        <v>0</v>
      </c>
      <c r="D3" s="2" t="s">
        <v>9</v>
      </c>
      <c r="E3" s="2" t="s">
        <v>1</v>
      </c>
      <c r="F3" s="2" t="s">
        <v>14</v>
      </c>
      <c r="G3" s="2" t="s">
        <v>2</v>
      </c>
    </row>
    <row r="4" spans="2:7" x14ac:dyDescent="0.3">
      <c r="B4" s="4">
        <v>1</v>
      </c>
      <c r="C4" s="5"/>
      <c r="D4" s="9" t="s">
        <v>10</v>
      </c>
      <c r="E4" s="5" t="s">
        <v>17</v>
      </c>
      <c r="F4" s="4" t="s">
        <v>16</v>
      </c>
      <c r="G4" s="4"/>
    </row>
    <row r="5" spans="2:7" x14ac:dyDescent="0.3">
      <c r="B5" s="4">
        <f>B4+1</f>
        <v>2</v>
      </c>
      <c r="C5" s="5"/>
      <c r="D5" s="10"/>
      <c r="E5" s="5" t="s">
        <v>19</v>
      </c>
      <c r="F5" s="4" t="s">
        <v>18</v>
      </c>
      <c r="G5" s="4"/>
    </row>
    <row r="6" spans="2:7" x14ac:dyDescent="0.3">
      <c r="B6" s="4">
        <f t="shared" ref="B6:B23" si="0">B5+1</f>
        <v>3</v>
      </c>
      <c r="C6" s="5"/>
      <c r="D6" s="10"/>
      <c r="E6" s="5"/>
      <c r="F6" s="4"/>
      <c r="G6" s="4"/>
    </row>
    <row r="7" spans="2:7" x14ac:dyDescent="0.3">
      <c r="B7" s="4">
        <f t="shared" si="0"/>
        <v>4</v>
      </c>
      <c r="C7" s="5"/>
      <c r="D7" s="10"/>
      <c r="E7" s="5"/>
      <c r="F7" s="4"/>
      <c r="G7" s="4"/>
    </row>
    <row r="8" spans="2:7" x14ac:dyDescent="0.3">
      <c r="B8" s="4">
        <f t="shared" si="0"/>
        <v>5</v>
      </c>
      <c r="C8" s="5"/>
      <c r="D8" s="11"/>
      <c r="E8" s="5"/>
      <c r="F8" s="4"/>
      <c r="G8" s="4"/>
    </row>
    <row r="9" spans="2:7" x14ac:dyDescent="0.3">
      <c r="B9" s="4">
        <f t="shared" si="0"/>
        <v>6</v>
      </c>
      <c r="C9" s="5"/>
      <c r="D9" s="9" t="s">
        <v>11</v>
      </c>
      <c r="E9" s="5"/>
      <c r="F9" s="4"/>
      <c r="G9" s="4"/>
    </row>
    <row r="10" spans="2:7" x14ac:dyDescent="0.3">
      <c r="B10" s="4">
        <f t="shared" si="0"/>
        <v>7</v>
      </c>
      <c r="C10" s="5"/>
      <c r="D10" s="10"/>
      <c r="E10" s="5"/>
      <c r="F10" s="4"/>
      <c r="G10" s="4"/>
    </row>
    <row r="11" spans="2:7" x14ac:dyDescent="0.3">
      <c r="B11" s="4">
        <f t="shared" si="0"/>
        <v>8</v>
      </c>
      <c r="C11" s="5"/>
      <c r="D11" s="10"/>
      <c r="E11" s="5"/>
      <c r="F11" s="4"/>
      <c r="G11" s="4"/>
    </row>
    <row r="12" spans="2:7" x14ac:dyDescent="0.3">
      <c r="B12" s="4">
        <f t="shared" si="0"/>
        <v>9</v>
      </c>
      <c r="C12" s="5"/>
      <c r="D12" s="10"/>
      <c r="E12" s="5"/>
      <c r="F12" s="4"/>
      <c r="G12" s="4"/>
    </row>
    <row r="13" spans="2:7" x14ac:dyDescent="0.3">
      <c r="B13" s="4">
        <f t="shared" si="0"/>
        <v>10</v>
      </c>
      <c r="C13" s="5"/>
      <c r="D13" s="11"/>
      <c r="E13" s="5"/>
      <c r="F13" s="4"/>
      <c r="G13" s="4"/>
    </row>
    <row r="14" spans="2:7" x14ac:dyDescent="0.3">
      <c r="B14" s="4">
        <f t="shared" si="0"/>
        <v>11</v>
      </c>
      <c r="C14" s="5"/>
      <c r="D14" s="9" t="s">
        <v>12</v>
      </c>
      <c r="E14" s="5"/>
      <c r="F14" s="4"/>
      <c r="G14" s="4"/>
    </row>
    <row r="15" spans="2:7" x14ac:dyDescent="0.3">
      <c r="B15" s="4">
        <f t="shared" si="0"/>
        <v>12</v>
      </c>
      <c r="C15" s="5"/>
      <c r="D15" s="10"/>
      <c r="E15" s="5"/>
      <c r="F15" s="4"/>
      <c r="G15" s="4"/>
    </row>
    <row r="16" spans="2:7" x14ac:dyDescent="0.3">
      <c r="B16" s="4">
        <f t="shared" si="0"/>
        <v>13</v>
      </c>
      <c r="C16" s="5"/>
      <c r="D16" s="10"/>
      <c r="E16" s="5"/>
      <c r="F16" s="4"/>
      <c r="G16" s="4"/>
    </row>
    <row r="17" spans="2:7" x14ac:dyDescent="0.3">
      <c r="B17" s="4">
        <f t="shared" si="0"/>
        <v>14</v>
      </c>
      <c r="C17" s="5"/>
      <c r="D17" s="10"/>
      <c r="E17" s="5"/>
      <c r="F17" s="4"/>
      <c r="G17" s="4"/>
    </row>
    <row r="18" spans="2:7" x14ac:dyDescent="0.3">
      <c r="B18" s="4">
        <f t="shared" si="0"/>
        <v>15</v>
      </c>
      <c r="C18" s="5"/>
      <c r="D18" s="11"/>
      <c r="E18" s="5"/>
      <c r="F18" s="4"/>
      <c r="G18" s="4"/>
    </row>
    <row r="19" spans="2:7" x14ac:dyDescent="0.3">
      <c r="B19" s="4">
        <f t="shared" si="0"/>
        <v>16</v>
      </c>
      <c r="C19" s="5"/>
      <c r="D19" s="9" t="s">
        <v>13</v>
      </c>
      <c r="E19" s="5"/>
      <c r="F19" s="4"/>
      <c r="G19" s="4"/>
    </row>
    <row r="20" spans="2:7" x14ac:dyDescent="0.3">
      <c r="B20" s="4">
        <f t="shared" si="0"/>
        <v>17</v>
      </c>
      <c r="C20" s="5"/>
      <c r="D20" s="10"/>
      <c r="E20" s="5"/>
      <c r="F20" s="4"/>
      <c r="G20" s="4"/>
    </row>
    <row r="21" spans="2:7" x14ac:dyDescent="0.3">
      <c r="B21" s="4">
        <f t="shared" si="0"/>
        <v>18</v>
      </c>
      <c r="C21" s="5"/>
      <c r="D21" s="10"/>
      <c r="E21" s="5"/>
      <c r="F21" s="4"/>
      <c r="G21" s="4"/>
    </row>
    <row r="22" spans="2:7" x14ac:dyDescent="0.3">
      <c r="B22" s="4">
        <f t="shared" si="0"/>
        <v>19</v>
      </c>
      <c r="C22" s="5"/>
      <c r="D22" s="10"/>
      <c r="E22" s="5"/>
      <c r="F22" s="4"/>
      <c r="G22" s="4"/>
    </row>
    <row r="23" spans="2:7" x14ac:dyDescent="0.3">
      <c r="B23" s="4">
        <f t="shared" si="0"/>
        <v>20</v>
      </c>
      <c r="C23" s="5"/>
      <c r="D23" s="11"/>
      <c r="E23" s="5"/>
      <c r="F23" s="4"/>
      <c r="G23" s="4"/>
    </row>
    <row r="24" spans="2:7" x14ac:dyDescent="0.3">
      <c r="G24" s="1"/>
    </row>
  </sheetData>
  <mergeCells count="4">
    <mergeCell ref="D9:D13"/>
    <mergeCell ref="D14:D18"/>
    <mergeCell ref="D19:D23"/>
    <mergeCell ref="D4: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 Interface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gutierrez.riley.g@outlook.com</dc:creator>
  <cp:lastModifiedBy>Riley Gutierrez</cp:lastModifiedBy>
  <dcterms:created xsi:type="dcterms:W3CDTF">2026-07-31T02:43:18Z</dcterms:created>
  <dcterms:modified xsi:type="dcterms:W3CDTF">2026-08-13T07:39:09Z</dcterms:modified>
</cp:coreProperties>
</file>